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hain\Downloads\"/>
    </mc:Choice>
  </mc:AlternateContent>
  <xr:revisionPtr revIDLastSave="0" documentId="13_ncr:1_{0CC0921E-96E9-40CD-A506-D3C111FC97FA}" xr6:coauthVersionLast="47" xr6:coauthVersionMax="47" xr10:uidLastSave="{00000000-0000-0000-0000-000000000000}"/>
  <bookViews>
    <workbookView xWindow="-98" yWindow="-98" windowWidth="19396" windowHeight="12196" xr2:uid="{3FB733B0-F046-4125-8780-77070BC17E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4" i="1" l="1"/>
  <c r="F79" i="1"/>
  <c r="F77" i="1"/>
  <c r="F78" i="1"/>
  <c r="D78" i="1"/>
  <c r="F15" i="1"/>
  <c r="D16" i="1"/>
  <c r="D15" i="1"/>
  <c r="F16" i="1"/>
  <c r="F9" i="1"/>
  <c r="F12" i="1"/>
  <c r="F24" i="1"/>
  <c r="F7" i="1"/>
  <c r="F6" i="1"/>
  <c r="D28" i="1"/>
  <c r="F28" i="1" s="1"/>
  <c r="D27" i="1"/>
  <c r="F27" i="1" s="1"/>
  <c r="F17" i="1"/>
  <c r="F14" i="1"/>
  <c r="F10" i="1"/>
  <c r="F2" i="1"/>
</calcChain>
</file>

<file path=xl/sharedStrings.xml><?xml version="1.0" encoding="utf-8"?>
<sst xmlns="http://schemas.openxmlformats.org/spreadsheetml/2006/main" count="160" uniqueCount="149">
  <si>
    <t xml:space="preserve">số lượng dự kiến </t>
  </si>
  <si>
    <t>đơn giá ($)</t>
  </si>
  <si>
    <t>S3</t>
  </si>
  <si>
    <t xml:space="preserve">Dịch vụ sử dụng </t>
  </si>
  <si>
    <t xml:space="preserve">Tên </t>
  </si>
  <si>
    <t>Storage</t>
  </si>
  <si>
    <t>Tiền / tháng($)</t>
  </si>
  <si>
    <t>3gb</t>
  </si>
  <si>
    <t>0.025/GB-tháng</t>
  </si>
  <si>
    <t>Data transfer:</t>
  </si>
  <si>
    <t>Data Transfer OUT</t>
  </si>
  <si>
    <t>Data Transfer IN</t>
  </si>
  <si>
    <t>Free</t>
  </si>
  <si>
    <t>READ and other requests</t>
  </si>
  <si>
    <t>PUT,COPY, POST, LIST requests</t>
  </si>
  <si>
    <t>0.004/10k requests</t>
  </si>
  <si>
    <t>0.005/1k requests</t>
  </si>
  <si>
    <t xml:space="preserve">0.12/1gb </t>
  </si>
  <si>
    <t>5gb</t>
  </si>
  <si>
    <t xml:space="preserve">Giả sử cho 1000 user thực hiện 3 lần sd app 1 ngày  trong vòng 30 ngày </t>
  </si>
  <si>
    <t>90000 AI calls</t>
  </si>
  <si>
    <t xml:space="preserve">Lambda </t>
  </si>
  <si>
    <t>0.2/ 1M requests</t>
  </si>
  <si>
    <t xml:space="preserve">request </t>
  </si>
  <si>
    <t xml:space="preserve">compute time </t>
  </si>
  <si>
    <t xml:space="preserve">memory </t>
  </si>
  <si>
    <t>0.512gb</t>
  </si>
  <si>
    <t>0.2s</t>
  </si>
  <si>
    <t>API Gateway</t>
  </si>
  <si>
    <t>free</t>
  </si>
  <si>
    <t>0.0000133334 / GB-giây</t>
  </si>
  <si>
    <t>1.25/1M requests</t>
  </si>
  <si>
    <t>Dynamo</t>
  </si>
  <si>
    <t>write</t>
  </si>
  <si>
    <t>read</t>
  </si>
  <si>
    <t>2gb</t>
  </si>
  <si>
    <t>chi tiết</t>
  </si>
  <si>
    <t>thao tác ghi vào 3 bữa 1 ngày</t>
  </si>
  <si>
    <t>0.1425 /1M</t>
  </si>
  <si>
    <t>0.71/1M</t>
  </si>
  <si>
    <t>0.114/1gb</t>
  </si>
  <si>
    <t>cần bàn thêm bao nhiêu bảng</t>
  </si>
  <si>
    <t xml:space="preserve">Cognito </t>
  </si>
  <si>
    <t xml:space="preserve">Lite plan </t>
  </si>
  <si>
    <t>0.0055/MAU</t>
  </si>
  <si>
    <t>1000 MAU</t>
  </si>
  <si>
    <t>1000 users</t>
  </si>
  <si>
    <t>Cloudwatch</t>
  </si>
  <si>
    <t>Metrics</t>
  </si>
  <si>
    <t xml:space="preserve">alarms </t>
  </si>
  <si>
    <t>ứng với 5 metrics</t>
  </si>
  <si>
    <t>api request</t>
  </si>
  <si>
    <t xml:space="preserve">Cloudtrail  </t>
  </si>
  <si>
    <t>events</t>
  </si>
  <si>
    <t>Secret manager</t>
  </si>
  <si>
    <t>api key, db configs</t>
  </si>
  <si>
    <t>kms</t>
  </si>
  <si>
    <t>encryption key</t>
  </si>
  <si>
    <t>External API, master key JWT, config đặc thù Database/App</t>
  </si>
  <si>
    <t>0.3/metric-tháng</t>
  </si>
  <si>
    <t>0.1/tháng</t>
  </si>
  <si>
    <t>tính phí nếu gọi tự vẽ dashboardBedrock_AI_Error_Rate, Image_Processing_Time, User_Daily_Active, Food_Log_Count, Business_Logic_Error</t>
  </si>
  <si>
    <t>log + metrics( code có gọi api sẽ tính )</t>
  </si>
  <si>
    <t>0.01/1k requests</t>
  </si>
  <si>
    <t xml:space="preserve">0.000001/event </t>
  </si>
  <si>
    <t>0.40/secret-tháng</t>
  </si>
  <si>
    <t>1/tháng</t>
  </si>
  <si>
    <t>AWS Textract</t>
  </si>
  <si>
    <t>Text Detection (OCR)</t>
  </si>
  <si>
    <t>0.0015/page</t>
  </si>
  <si>
    <t>ECS</t>
  </si>
  <si>
    <t>Fargate Linux/x86: vCPU: $0.05056 mỗi vCPU/giờ       Memory: $0.00553 mỗi GB/giờ</t>
  </si>
  <si>
    <t>Fargate ARM (Graviton2): vCPU: $0.04045 mỗi vCPU/giờ     Memory: $0.00442 mỗi GB/giờ (~rẻ hơn 20% so với x86)</t>
  </si>
  <si>
    <t>Asia Pacific (Tokyo) - ap-northeast-1:</t>
  </si>
  <si>
    <t>Fargate ARM (Graviton2): vCPU: $0.04045 mỗi vCPU/giờ (~rẻ hơn 20% so với x86)    Memory: $0.00442 mỗi GB/giờ (~rẻ hơn 20% so với x86)</t>
  </si>
  <si>
    <t>ap-southeast-1</t>
  </si>
  <si>
    <t>ap-south-1</t>
  </si>
  <si>
    <t>Fargate Linux/x86: vCPU: $0.04256 mỗi vCPU/giờ       Memory: $0.004655 mỗi GB/giờ</t>
  </si>
  <si>
    <t>Fargate ARM  vCPU: $0.02383 mỗi vCPU/giờ   Memory: $0.00261 mỗi GB/giờ (~rẻ hơn 20% so với x86)</t>
  </si>
  <si>
    <t>AI Call</t>
  </si>
  <si>
    <t xml:space="preserve">AWS Bedrock </t>
  </si>
  <si>
    <t xml:space="preserve"> model: Qwen3 VL 235B A22B  </t>
  </si>
  <si>
    <t>US East (N. Virginia) - us-east-1</t>
  </si>
  <si>
    <t xml:space="preserve">Input Tokens: </t>
  </si>
  <si>
    <r>
      <t>-</t>
    </r>
    <r>
      <rPr>
        <sz val="10"/>
        <color rgb="FFC6C6CD"/>
        <rFont val="Consolas"/>
        <family val="3"/>
      </rPr>
      <t xml:space="preserve"> Flex</t>
    </r>
    <r>
      <rPr>
        <sz val="10"/>
        <color rgb="FFC674DC"/>
        <rFont val="Consolas"/>
        <family val="3"/>
      </rPr>
      <t>/</t>
    </r>
    <r>
      <rPr>
        <sz val="10"/>
        <color rgb="FFC6C6CD"/>
        <rFont val="Consolas"/>
        <family val="3"/>
      </rPr>
      <t>Batch: $0.</t>
    </r>
    <r>
      <rPr>
        <sz val="10"/>
        <color rgb="FFE5C383"/>
        <rFont val="Consolas"/>
        <family val="3"/>
      </rPr>
      <t>00026</t>
    </r>
    <r>
      <rPr>
        <sz val="10"/>
        <color rgb="FFC674DC"/>
        <rFont val="Consolas"/>
        <family val="3"/>
      </rPr>
      <t>/</t>
    </r>
    <r>
      <rPr>
        <sz val="10"/>
        <color rgb="FFC6C6CD"/>
        <rFont val="Consolas"/>
        <family val="3"/>
      </rPr>
      <t xml:space="preserve">1K tokens </t>
    </r>
  </si>
  <si>
    <r>
      <t>-</t>
    </r>
    <r>
      <rPr>
        <sz val="10"/>
        <color rgb="FFC6C6CD"/>
        <rFont val="Consolas"/>
        <family val="3"/>
      </rPr>
      <t xml:space="preserve"> Standard: $0.</t>
    </r>
    <r>
      <rPr>
        <sz val="10"/>
        <color rgb="FFE5C383"/>
        <rFont val="Consolas"/>
        <family val="3"/>
      </rPr>
      <t>00053</t>
    </r>
    <r>
      <rPr>
        <sz val="10"/>
        <color rgb="FFC674DC"/>
        <rFont val="Consolas"/>
        <family val="3"/>
      </rPr>
      <t>/</t>
    </r>
    <r>
      <rPr>
        <sz val="10"/>
        <color rgb="FFC6C6CD"/>
        <rFont val="Consolas"/>
        <family val="3"/>
      </rPr>
      <t xml:space="preserve">1K tokens </t>
    </r>
  </si>
  <si>
    <r>
      <t>-</t>
    </r>
    <r>
      <rPr>
        <sz val="10"/>
        <color rgb="FFC6C6CD"/>
        <rFont val="Consolas"/>
        <family val="3"/>
      </rPr>
      <t xml:space="preserve"> Priority: $0.</t>
    </r>
    <r>
      <rPr>
        <sz val="10"/>
        <color rgb="FFE5C383"/>
        <rFont val="Consolas"/>
        <family val="3"/>
      </rPr>
      <t>00093</t>
    </r>
    <r>
      <rPr>
        <sz val="10"/>
        <color rgb="FFC674DC"/>
        <rFont val="Consolas"/>
        <family val="3"/>
      </rPr>
      <t>/</t>
    </r>
    <r>
      <rPr>
        <sz val="10"/>
        <color rgb="FFC6C6CD"/>
        <rFont val="Consolas"/>
        <family val="3"/>
      </rPr>
      <t xml:space="preserve">1K tokens </t>
    </r>
  </si>
  <si>
    <t xml:space="preserve">Output Tokens: </t>
  </si>
  <si>
    <r>
      <t>-</t>
    </r>
    <r>
      <rPr>
        <sz val="10"/>
        <color rgb="FFC6C6CD"/>
        <rFont val="Consolas"/>
        <family val="3"/>
      </rPr>
      <t xml:space="preserve"> Flex</t>
    </r>
    <r>
      <rPr>
        <sz val="10"/>
        <color rgb="FFC674DC"/>
        <rFont val="Consolas"/>
        <family val="3"/>
      </rPr>
      <t>/</t>
    </r>
    <r>
      <rPr>
        <sz val="10"/>
        <color rgb="FFC6C6CD"/>
        <rFont val="Consolas"/>
        <family val="3"/>
      </rPr>
      <t>Batch: $0.</t>
    </r>
    <r>
      <rPr>
        <sz val="10"/>
        <color rgb="FFE5C383"/>
        <rFont val="Consolas"/>
        <family val="3"/>
      </rPr>
      <t>00133</t>
    </r>
    <r>
      <rPr>
        <sz val="10"/>
        <color rgb="FFC674DC"/>
        <rFont val="Consolas"/>
        <family val="3"/>
      </rPr>
      <t>/</t>
    </r>
    <r>
      <rPr>
        <sz val="10"/>
        <color rgb="FFC6C6CD"/>
        <rFont val="Consolas"/>
        <family val="3"/>
      </rPr>
      <t xml:space="preserve">1K tokens </t>
    </r>
  </si>
  <si>
    <r>
      <t>-</t>
    </r>
    <r>
      <rPr>
        <sz val="10"/>
        <color rgb="FFC6C6CD"/>
        <rFont val="Consolas"/>
        <family val="3"/>
      </rPr>
      <t xml:space="preserve"> Standard: $0.</t>
    </r>
    <r>
      <rPr>
        <sz val="10"/>
        <color rgb="FFE5C383"/>
        <rFont val="Consolas"/>
        <family val="3"/>
      </rPr>
      <t>00266</t>
    </r>
    <r>
      <rPr>
        <sz val="10"/>
        <color rgb="FFC674DC"/>
        <rFont val="Consolas"/>
        <family val="3"/>
      </rPr>
      <t>/</t>
    </r>
    <r>
      <rPr>
        <sz val="10"/>
        <color rgb="FFC6C6CD"/>
        <rFont val="Consolas"/>
        <family val="3"/>
      </rPr>
      <t xml:space="preserve">1K tokens </t>
    </r>
  </si>
  <si>
    <r>
      <t>-</t>
    </r>
    <r>
      <rPr>
        <sz val="10"/>
        <color rgb="FFC6C6CD"/>
        <rFont val="Consolas"/>
        <family val="3"/>
      </rPr>
      <t xml:space="preserve"> Priority: $0.</t>
    </r>
    <r>
      <rPr>
        <sz val="10"/>
        <color rgb="FFE5C383"/>
        <rFont val="Consolas"/>
        <family val="3"/>
      </rPr>
      <t>00466</t>
    </r>
    <r>
      <rPr>
        <sz val="10"/>
        <color rgb="FFC674DC"/>
        <rFont val="Consolas"/>
        <family val="3"/>
      </rPr>
      <t>/</t>
    </r>
    <r>
      <rPr>
        <sz val="10"/>
        <color rgb="FFC6C6CD"/>
        <rFont val="Consolas"/>
        <family val="3"/>
      </rPr>
      <t>1K tokens</t>
    </r>
  </si>
  <si>
    <r>
      <t>-</t>
    </r>
    <r>
      <rPr>
        <sz val="9"/>
        <color rgb="FFC6C6CD"/>
        <rFont val="Consolas"/>
        <family val="3"/>
      </rPr>
      <t xml:space="preserve"> Flex</t>
    </r>
    <r>
      <rPr>
        <sz val="9"/>
        <color rgb="FFC674DC"/>
        <rFont val="Consolas"/>
        <family val="3"/>
      </rPr>
      <t>/</t>
    </r>
    <r>
      <rPr>
        <sz val="9"/>
        <color rgb="FFC6C6CD"/>
        <rFont val="Consolas"/>
        <family val="3"/>
      </rPr>
      <t>Batch: $0.</t>
    </r>
    <r>
      <rPr>
        <sz val="9"/>
        <color rgb="FFE5C383"/>
        <rFont val="Consolas"/>
        <family val="3"/>
      </rPr>
      <t>00032</t>
    </r>
    <r>
      <rPr>
        <sz val="9"/>
        <color rgb="FFC674DC"/>
        <rFont val="Consolas"/>
        <family val="3"/>
      </rPr>
      <t>/</t>
    </r>
    <r>
      <rPr>
        <sz val="9"/>
        <color rgb="FFC6C6CD"/>
        <rFont val="Consolas"/>
        <family val="3"/>
      </rPr>
      <t>1K tokens (</t>
    </r>
    <r>
      <rPr>
        <sz val="9"/>
        <color rgb="FFE5C383"/>
        <rFont val="Consolas"/>
        <family val="3"/>
      </rPr>
      <t>+23</t>
    </r>
    <r>
      <rPr>
        <sz val="9"/>
        <color rgb="FFC674DC"/>
        <rFont val="Consolas"/>
        <family val="3"/>
      </rPr>
      <t>%</t>
    </r>
    <r>
      <rPr>
        <sz val="9"/>
        <color rgb="FFC6C6CD"/>
        <rFont val="Consolas"/>
        <family val="3"/>
      </rPr>
      <t xml:space="preserve"> vs US) </t>
    </r>
  </si>
  <si>
    <r>
      <t>-</t>
    </r>
    <r>
      <rPr>
        <sz val="9"/>
        <color rgb="FFC6C6CD"/>
        <rFont val="Consolas"/>
        <family val="3"/>
      </rPr>
      <t xml:space="preserve"> Standard: $0.</t>
    </r>
    <r>
      <rPr>
        <sz val="9"/>
        <color rgb="FFE5C383"/>
        <rFont val="Consolas"/>
        <family val="3"/>
      </rPr>
      <t>00064</t>
    </r>
    <r>
      <rPr>
        <sz val="9"/>
        <color rgb="FFC674DC"/>
        <rFont val="Consolas"/>
        <family val="3"/>
      </rPr>
      <t>/</t>
    </r>
    <r>
      <rPr>
        <sz val="9"/>
        <color rgb="FFC6C6CD"/>
        <rFont val="Consolas"/>
        <family val="3"/>
      </rPr>
      <t>1K tokens (</t>
    </r>
    <r>
      <rPr>
        <sz val="9"/>
        <color rgb="FFE5C383"/>
        <rFont val="Consolas"/>
        <family val="3"/>
      </rPr>
      <t>+21</t>
    </r>
    <r>
      <rPr>
        <sz val="9"/>
        <color rgb="FFC674DC"/>
        <rFont val="Consolas"/>
        <family val="3"/>
      </rPr>
      <t>%</t>
    </r>
    <r>
      <rPr>
        <sz val="9"/>
        <color rgb="FFC6C6CD"/>
        <rFont val="Consolas"/>
        <family val="3"/>
      </rPr>
      <t xml:space="preserve"> vs US) </t>
    </r>
  </si>
  <si>
    <r>
      <t>-</t>
    </r>
    <r>
      <rPr>
        <sz val="9"/>
        <color rgb="FFC6C6CD"/>
        <rFont val="Consolas"/>
        <family val="3"/>
      </rPr>
      <t xml:space="preserve"> Priority: $0.</t>
    </r>
    <r>
      <rPr>
        <sz val="9"/>
        <color rgb="FFE5C383"/>
        <rFont val="Consolas"/>
        <family val="3"/>
      </rPr>
      <t>00112</t>
    </r>
    <r>
      <rPr>
        <sz val="9"/>
        <color rgb="FFC674DC"/>
        <rFont val="Consolas"/>
        <family val="3"/>
      </rPr>
      <t>/</t>
    </r>
    <r>
      <rPr>
        <sz val="9"/>
        <color rgb="FFC6C6CD"/>
        <rFont val="Consolas"/>
        <family val="3"/>
      </rPr>
      <t>1K tokens (</t>
    </r>
    <r>
      <rPr>
        <sz val="9"/>
        <color rgb="FFE5C383"/>
        <rFont val="Consolas"/>
        <family val="3"/>
      </rPr>
      <t>+20</t>
    </r>
    <r>
      <rPr>
        <sz val="9"/>
        <color rgb="FFC674DC"/>
        <rFont val="Consolas"/>
        <family val="3"/>
      </rPr>
      <t>%</t>
    </r>
    <r>
      <rPr>
        <sz val="9"/>
        <color rgb="FFC6C6CD"/>
        <rFont val="Consolas"/>
        <family val="3"/>
      </rPr>
      <t xml:space="preserve"> vs US) </t>
    </r>
  </si>
  <si>
    <r>
      <t>-</t>
    </r>
    <r>
      <rPr>
        <sz val="9"/>
        <color rgb="FFC6C6CD"/>
        <rFont val="Consolas"/>
        <family val="3"/>
      </rPr>
      <t xml:space="preserve"> Flex</t>
    </r>
    <r>
      <rPr>
        <sz val="9"/>
        <color rgb="FFC674DC"/>
        <rFont val="Consolas"/>
        <family val="3"/>
      </rPr>
      <t>/</t>
    </r>
    <r>
      <rPr>
        <sz val="9"/>
        <color rgb="FFC6C6CD"/>
        <rFont val="Consolas"/>
        <family val="3"/>
      </rPr>
      <t>Batch: $0.</t>
    </r>
    <r>
      <rPr>
        <sz val="9"/>
        <color rgb="FFE5C383"/>
        <rFont val="Consolas"/>
        <family val="3"/>
      </rPr>
      <t>00161</t>
    </r>
    <r>
      <rPr>
        <sz val="9"/>
        <color rgb="FFC674DC"/>
        <rFont val="Consolas"/>
        <family val="3"/>
      </rPr>
      <t>/</t>
    </r>
    <r>
      <rPr>
        <sz val="9"/>
        <color rgb="FFC6C6CD"/>
        <rFont val="Consolas"/>
        <family val="3"/>
      </rPr>
      <t>1K tokens (</t>
    </r>
    <r>
      <rPr>
        <sz val="9"/>
        <color rgb="FFE5C383"/>
        <rFont val="Consolas"/>
        <family val="3"/>
      </rPr>
      <t>+21</t>
    </r>
    <r>
      <rPr>
        <sz val="9"/>
        <color rgb="FFC674DC"/>
        <rFont val="Consolas"/>
        <family val="3"/>
      </rPr>
      <t>%</t>
    </r>
    <r>
      <rPr>
        <sz val="9"/>
        <color rgb="FFC6C6CD"/>
        <rFont val="Consolas"/>
        <family val="3"/>
      </rPr>
      <t xml:space="preserve"> vs US) </t>
    </r>
  </si>
  <si>
    <r>
      <t>-</t>
    </r>
    <r>
      <rPr>
        <sz val="9"/>
        <color rgb="FFC6C6CD"/>
        <rFont val="Consolas"/>
        <family val="3"/>
      </rPr>
      <t xml:space="preserve"> Standard: $0.</t>
    </r>
    <r>
      <rPr>
        <sz val="9"/>
        <color rgb="FFE5C383"/>
        <rFont val="Consolas"/>
        <family val="3"/>
      </rPr>
      <t>00322</t>
    </r>
    <r>
      <rPr>
        <sz val="9"/>
        <color rgb="FFC674DC"/>
        <rFont val="Consolas"/>
        <family val="3"/>
      </rPr>
      <t>/</t>
    </r>
    <r>
      <rPr>
        <sz val="9"/>
        <color rgb="FFC6C6CD"/>
        <rFont val="Consolas"/>
        <family val="3"/>
      </rPr>
      <t>1K tokens (</t>
    </r>
    <r>
      <rPr>
        <sz val="9"/>
        <color rgb="FFE5C383"/>
        <rFont val="Consolas"/>
        <family val="3"/>
      </rPr>
      <t>+21</t>
    </r>
    <r>
      <rPr>
        <sz val="9"/>
        <color rgb="FFC674DC"/>
        <rFont val="Consolas"/>
        <family val="3"/>
      </rPr>
      <t>%</t>
    </r>
    <r>
      <rPr>
        <sz val="9"/>
        <color rgb="FFC6C6CD"/>
        <rFont val="Consolas"/>
        <family val="3"/>
      </rPr>
      <t xml:space="preserve"> vs US) </t>
    </r>
  </si>
  <si>
    <r>
      <t>-</t>
    </r>
    <r>
      <rPr>
        <sz val="9"/>
        <color rgb="FFC6C6CD"/>
        <rFont val="Consolas"/>
        <family val="3"/>
      </rPr>
      <t xml:space="preserve"> Priority: $0.</t>
    </r>
    <r>
      <rPr>
        <sz val="9"/>
        <color rgb="FFE5C383"/>
        <rFont val="Consolas"/>
        <family val="3"/>
      </rPr>
      <t>00564</t>
    </r>
    <r>
      <rPr>
        <sz val="9"/>
        <color rgb="FFC674DC"/>
        <rFont val="Consolas"/>
        <family val="3"/>
      </rPr>
      <t>/</t>
    </r>
    <r>
      <rPr>
        <sz val="9"/>
        <color rgb="FFC6C6CD"/>
        <rFont val="Consolas"/>
        <family val="3"/>
      </rPr>
      <t>1K tokens (</t>
    </r>
    <r>
      <rPr>
        <sz val="9"/>
        <color rgb="FFE5C383"/>
        <rFont val="Consolas"/>
        <family val="3"/>
      </rPr>
      <t>+21</t>
    </r>
    <r>
      <rPr>
        <sz val="9"/>
        <color rgb="FFC674DC"/>
        <rFont val="Consolas"/>
        <family val="3"/>
      </rPr>
      <t>%</t>
    </r>
    <r>
      <rPr>
        <sz val="9"/>
        <color rgb="FFC6C6CD"/>
        <rFont val="Consolas"/>
        <family val="3"/>
      </rPr>
      <t xml:space="preserve"> vs US)</t>
    </r>
  </si>
  <si>
    <t>Asia Pacific (Mumbai) - ap-south-1:</t>
  </si>
  <si>
    <r>
      <t>-</t>
    </r>
    <r>
      <rPr>
        <sz val="9"/>
        <color rgb="FFC6C6CD"/>
        <rFont val="Consolas"/>
        <family val="3"/>
      </rPr>
      <t xml:space="preserve"> Flex</t>
    </r>
    <r>
      <rPr>
        <sz val="9"/>
        <color rgb="FFC674DC"/>
        <rFont val="Consolas"/>
        <family val="3"/>
      </rPr>
      <t>/</t>
    </r>
    <r>
      <rPr>
        <sz val="9"/>
        <color rgb="FFC6C6CD"/>
        <rFont val="Consolas"/>
        <family val="3"/>
      </rPr>
      <t>Batch: $0.</t>
    </r>
    <r>
      <rPr>
        <sz val="9"/>
        <color rgb="FFE5C383"/>
        <rFont val="Consolas"/>
        <family val="3"/>
      </rPr>
      <t>00031</t>
    </r>
    <r>
      <rPr>
        <sz val="9"/>
        <color rgb="FFC674DC"/>
        <rFont val="Consolas"/>
        <family val="3"/>
      </rPr>
      <t>/</t>
    </r>
    <r>
      <rPr>
        <sz val="9"/>
        <color rgb="FFC6C6CD"/>
        <rFont val="Consolas"/>
        <family val="3"/>
      </rPr>
      <t>1K tokens (</t>
    </r>
    <r>
      <rPr>
        <sz val="9"/>
        <color rgb="FFE5C383"/>
        <rFont val="Consolas"/>
        <family val="3"/>
      </rPr>
      <t>+19</t>
    </r>
    <r>
      <rPr>
        <sz val="9"/>
        <color rgb="FFC674DC"/>
        <rFont val="Consolas"/>
        <family val="3"/>
      </rPr>
      <t>%</t>
    </r>
    <r>
      <rPr>
        <sz val="9"/>
        <color rgb="FFC6C6CD"/>
        <rFont val="Consolas"/>
        <family val="3"/>
      </rPr>
      <t xml:space="preserve"> vs US) </t>
    </r>
  </si>
  <si>
    <r>
      <t>-</t>
    </r>
    <r>
      <rPr>
        <sz val="9"/>
        <color rgb="FFC6C6CD"/>
        <rFont val="Consolas"/>
        <family val="3"/>
      </rPr>
      <t xml:space="preserve"> Standard: $0.</t>
    </r>
    <r>
      <rPr>
        <sz val="9"/>
        <color rgb="FFE5C383"/>
        <rFont val="Consolas"/>
        <family val="3"/>
      </rPr>
      <t>00062</t>
    </r>
    <r>
      <rPr>
        <sz val="9"/>
        <color rgb="FFC674DC"/>
        <rFont val="Consolas"/>
        <family val="3"/>
      </rPr>
      <t>/</t>
    </r>
    <r>
      <rPr>
        <sz val="9"/>
        <color rgb="FFC6C6CD"/>
        <rFont val="Consolas"/>
        <family val="3"/>
      </rPr>
      <t>1K tokens (</t>
    </r>
    <r>
      <rPr>
        <sz val="9"/>
        <color rgb="FFE5C383"/>
        <rFont val="Consolas"/>
        <family val="3"/>
      </rPr>
      <t>+17</t>
    </r>
    <r>
      <rPr>
        <sz val="9"/>
        <color rgb="FFC674DC"/>
        <rFont val="Consolas"/>
        <family val="3"/>
      </rPr>
      <t>%</t>
    </r>
    <r>
      <rPr>
        <sz val="9"/>
        <color rgb="FFC6C6CD"/>
        <rFont val="Consolas"/>
        <family val="3"/>
      </rPr>
      <t xml:space="preserve"> vs US) </t>
    </r>
  </si>
  <si>
    <r>
      <t>-</t>
    </r>
    <r>
      <rPr>
        <sz val="9"/>
        <color rgb="FFC6C6CD"/>
        <rFont val="Consolas"/>
        <family val="3"/>
      </rPr>
      <t xml:space="preserve"> Priority: $0.</t>
    </r>
    <r>
      <rPr>
        <sz val="9"/>
        <color rgb="FFE5C383"/>
        <rFont val="Consolas"/>
        <family val="3"/>
      </rPr>
      <t>00109</t>
    </r>
    <r>
      <rPr>
        <sz val="9"/>
        <color rgb="FFC674DC"/>
        <rFont val="Consolas"/>
        <family val="3"/>
      </rPr>
      <t>/</t>
    </r>
    <r>
      <rPr>
        <sz val="9"/>
        <color rgb="FFC6C6CD"/>
        <rFont val="Consolas"/>
        <family val="3"/>
      </rPr>
      <t>1K tokens (</t>
    </r>
    <r>
      <rPr>
        <sz val="9"/>
        <color rgb="FFE5C383"/>
        <rFont val="Consolas"/>
        <family val="3"/>
      </rPr>
      <t>+17</t>
    </r>
    <r>
      <rPr>
        <sz val="9"/>
        <color rgb="FFC674DC"/>
        <rFont val="Consolas"/>
        <family val="3"/>
      </rPr>
      <t>%</t>
    </r>
    <r>
      <rPr>
        <sz val="9"/>
        <color rgb="FFC6C6CD"/>
        <rFont val="Consolas"/>
        <family val="3"/>
      </rPr>
      <t xml:space="preserve"> vs US) </t>
    </r>
  </si>
  <si>
    <r>
      <t>-</t>
    </r>
    <r>
      <rPr>
        <sz val="9"/>
        <color rgb="FFC6C6CD"/>
        <rFont val="Consolas"/>
        <family val="3"/>
      </rPr>
      <t xml:space="preserve"> Flex</t>
    </r>
    <r>
      <rPr>
        <sz val="9"/>
        <color rgb="FFC674DC"/>
        <rFont val="Consolas"/>
        <family val="3"/>
      </rPr>
      <t>/</t>
    </r>
    <r>
      <rPr>
        <sz val="9"/>
        <color rgb="FFC6C6CD"/>
        <rFont val="Consolas"/>
        <family val="3"/>
      </rPr>
      <t>Batch: $0.</t>
    </r>
    <r>
      <rPr>
        <sz val="9"/>
        <color rgb="FFE5C383"/>
        <rFont val="Consolas"/>
        <family val="3"/>
      </rPr>
      <t>00156</t>
    </r>
    <r>
      <rPr>
        <sz val="9"/>
        <color rgb="FFC674DC"/>
        <rFont val="Consolas"/>
        <family val="3"/>
      </rPr>
      <t>/</t>
    </r>
    <r>
      <rPr>
        <sz val="9"/>
        <color rgb="FFC6C6CD"/>
        <rFont val="Consolas"/>
        <family val="3"/>
      </rPr>
      <t>1K tokens (</t>
    </r>
    <r>
      <rPr>
        <sz val="9"/>
        <color rgb="FFE5C383"/>
        <rFont val="Consolas"/>
        <family val="3"/>
      </rPr>
      <t>+17</t>
    </r>
    <r>
      <rPr>
        <sz val="9"/>
        <color rgb="FFC674DC"/>
        <rFont val="Consolas"/>
        <family val="3"/>
      </rPr>
      <t>%</t>
    </r>
    <r>
      <rPr>
        <sz val="9"/>
        <color rgb="FFC6C6CD"/>
        <rFont val="Consolas"/>
        <family val="3"/>
      </rPr>
      <t xml:space="preserve"> vs US) </t>
    </r>
  </si>
  <si>
    <r>
      <t>-</t>
    </r>
    <r>
      <rPr>
        <sz val="9"/>
        <color rgb="FFC6C6CD"/>
        <rFont val="Consolas"/>
        <family val="3"/>
      </rPr>
      <t xml:space="preserve"> Standard: $0.</t>
    </r>
    <r>
      <rPr>
        <sz val="9"/>
        <color rgb="FFE5C383"/>
        <rFont val="Consolas"/>
        <family val="3"/>
      </rPr>
      <t>00313</t>
    </r>
    <r>
      <rPr>
        <sz val="9"/>
        <color rgb="FFC674DC"/>
        <rFont val="Consolas"/>
        <family val="3"/>
      </rPr>
      <t>/</t>
    </r>
    <r>
      <rPr>
        <sz val="9"/>
        <color rgb="FFC6C6CD"/>
        <rFont val="Consolas"/>
        <family val="3"/>
      </rPr>
      <t>1K tokens (</t>
    </r>
    <r>
      <rPr>
        <sz val="9"/>
        <color rgb="FFE5C383"/>
        <rFont val="Consolas"/>
        <family val="3"/>
      </rPr>
      <t>+18</t>
    </r>
    <r>
      <rPr>
        <sz val="9"/>
        <color rgb="FFC674DC"/>
        <rFont val="Consolas"/>
        <family val="3"/>
      </rPr>
      <t>%</t>
    </r>
    <r>
      <rPr>
        <sz val="9"/>
        <color rgb="FFC6C6CD"/>
        <rFont val="Consolas"/>
        <family val="3"/>
      </rPr>
      <t xml:space="preserve"> vs US) </t>
    </r>
  </si>
  <si>
    <r>
      <t>-</t>
    </r>
    <r>
      <rPr>
        <sz val="9"/>
        <color rgb="FFC6C6CD"/>
        <rFont val="Consolas"/>
        <family val="3"/>
      </rPr>
      <t xml:space="preserve"> Priority: $0.</t>
    </r>
    <r>
      <rPr>
        <sz val="9"/>
        <color rgb="FFE5C383"/>
        <rFont val="Consolas"/>
        <family val="3"/>
      </rPr>
      <t>00548</t>
    </r>
    <r>
      <rPr>
        <sz val="9"/>
        <color rgb="FFC674DC"/>
        <rFont val="Consolas"/>
        <family val="3"/>
      </rPr>
      <t>/</t>
    </r>
    <r>
      <rPr>
        <sz val="9"/>
        <color rgb="FFC6C6CD"/>
        <rFont val="Consolas"/>
        <family val="3"/>
      </rPr>
      <t>1K tokens (</t>
    </r>
    <r>
      <rPr>
        <sz val="9"/>
        <color rgb="FFE5C383"/>
        <rFont val="Consolas"/>
        <family val="3"/>
      </rPr>
      <t>+18</t>
    </r>
    <r>
      <rPr>
        <sz val="9"/>
        <color rgb="FFC674DC"/>
        <rFont val="Consolas"/>
        <family val="3"/>
      </rPr>
      <t>%</t>
    </r>
    <r>
      <rPr>
        <sz val="9"/>
        <color rgb="FFC6C6CD"/>
        <rFont val="Consolas"/>
        <family val="3"/>
      </rPr>
      <t xml:space="preserve"> vs US)</t>
    </r>
  </si>
  <si>
    <t>sử dụng bảng bên dưới lấy Virgin để tính trc</t>
  </si>
  <si>
    <t>0.00053/1k tokens</t>
  </si>
  <si>
    <t>0.00266/1k tokens</t>
  </si>
  <si>
    <t xml:space="preserve">app runner </t>
  </si>
  <si>
    <t>app-south-1</t>
  </si>
  <si>
    <t xml:space="preserve">vCPU: $0.068096 per vCPU-hour  </t>
  </si>
  <si>
    <t>Memory: $0.007448 per GB-hour</t>
  </si>
  <si>
    <t>ap-northeast-1</t>
  </si>
  <si>
    <t>vCPU: $0.0809 per vCPU-hour</t>
  </si>
  <si>
    <t>Memory: $0.00885 per GB-hour</t>
  </si>
  <si>
    <t xml:space="preserve">Tổng </t>
  </si>
  <si>
    <t>input token (promt +image)  = 350 tokens</t>
  </si>
  <si>
    <t>output = 120 tokens</t>
  </si>
  <si>
    <t>GET xảy ra khi: AI service đọc ảnh từ S3 app load lại ảnh user xem history</t>
  </si>
  <si>
    <t>PUT request là hđ khi user chụp hình và upload hình vào s3</t>
  </si>
  <si>
    <t xml:space="preserve">Aws Amplify </t>
  </si>
  <si>
    <t xml:space="preserve">Hosting and storage: </t>
  </si>
  <si>
    <t>0.023/1gb-tháng</t>
  </si>
  <si>
    <t xml:space="preserve">data transfer </t>
  </si>
  <si>
    <t xml:space="preserve">0.15/1gb </t>
  </si>
  <si>
    <t xml:space="preserve">Build standard </t>
  </si>
  <si>
    <t>0.01/1 minute</t>
  </si>
  <si>
    <t>Hosting Compute (Server-Side Rendering)</t>
  </si>
  <si>
    <t>Request</t>
  </si>
  <si>
    <t>0.3/1M requests</t>
  </si>
  <si>
    <t>thời gian xử lý request</t>
  </si>
  <si>
    <t>0.2/gb-hour</t>
  </si>
  <si>
    <t>WAF</t>
  </si>
  <si>
    <t>15/1 tháng</t>
  </si>
  <si>
    <t xml:space="preserve">chưa tính ecs vào </t>
  </si>
  <si>
    <t>( thường user sẽ sử dụng AI nhiều hơn tính năng này)</t>
  </si>
  <si>
    <t>400 users * 6 label / user / tháng</t>
  </si>
  <si>
    <t>1 interactions =  gọi API,xử lý Lambda,đọc / ghi DynamoDB</t>
  </si>
  <si>
    <t xml:space="preserve">1 AI call sẽ thường gọi call api, xử lý lambda , tính năng trong code vs lambda </t>
  </si>
  <si>
    <t xml:space="preserve">90K*3 </t>
  </si>
  <si>
    <t>270000=0.27M</t>
  </si>
  <si>
    <t xml:space="preserve">đồng điệu với api gateway </t>
  </si>
  <si>
    <t>0.27M</t>
  </si>
  <si>
    <t>này là cấu hình của architect ưu tiên sd arm64</t>
  </si>
  <si>
    <t>app đọc và hiển thị user profile</t>
  </si>
  <si>
    <t>1000 users * 27 read/ngày*30</t>
  </si>
  <si>
    <t>1000users *6 writes/ ngày * 30</t>
  </si>
  <si>
    <t xml:space="preserve">front-end = 3MB </t>
  </si>
  <si>
    <t>CDN cache của AWS Amplify giúp user không phải tải lại toàn bộ frontend mỗi lần mở app, nên data transfer thực tế thấp hơn nhiều so với tính thô ban đầu.</t>
  </si>
  <si>
    <t>chỉ tính khi dùng SSR (server render 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</si>
</sst>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8" formatCode="&quot;$&quot;#,##0.000_);[Red]\(&quot;$&quot;#,##0.000\)"/>
  </numFmts>
  <fonts count="10" x14ac:knownFonts="1">
    <font>
      <sz val="11"/>
      <color theme="1"/>
      <name val="Aptos Narrow"/>
      <family val="2"/>
      <scheme val="minor"/>
    </font>
    <font>
      <sz val="11"/>
      <color theme="9"/>
      <name val="Aptos Narrow"/>
      <family val="2"/>
      <scheme val="minor"/>
    </font>
    <font>
      <sz val="10"/>
      <color rgb="FFC6C6CD"/>
      <name val="Consolas"/>
      <family val="3"/>
    </font>
    <font>
      <sz val="10"/>
      <color rgb="FFC674DC"/>
      <name val="Consolas"/>
      <family val="3"/>
    </font>
    <font>
      <sz val="10"/>
      <color rgb="FFE5C383"/>
      <name val="Consolas"/>
      <family val="3"/>
    </font>
    <font>
      <sz val="9"/>
      <color rgb="FFC6C6CD"/>
      <name val="Consolas"/>
      <family val="3"/>
    </font>
    <font>
      <sz val="9"/>
      <color rgb="FFC674DC"/>
      <name val="Consolas"/>
      <family val="3"/>
    </font>
    <font>
      <sz val="9"/>
      <color rgb="FFE5C383"/>
      <name val="Consolas"/>
      <family val="3"/>
    </font>
    <font>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rgb="FF282C34"/>
        <bgColor indexed="64"/>
      </patternFill>
    </fill>
    <fill>
      <patternFill patternType="solid">
        <fgColor theme="9"/>
        <bgColor indexed="64"/>
      </patternFill>
    </fill>
    <fill>
      <patternFill patternType="solid">
        <fgColor rgb="FFC0000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horizontal="right"/>
    </xf>
    <xf numFmtId="0" fontId="0" fillId="0" borderId="0" xfId="0" applyAlignment="1">
      <alignment horizontal="left"/>
    </xf>
    <xf numFmtId="0" fontId="0" fillId="0" borderId="0" xfId="0" applyFont="1"/>
    <xf numFmtId="0" fontId="1" fillId="0" borderId="0" xfId="0" applyFont="1"/>
    <xf numFmtId="0" fontId="2" fillId="2" borderId="0" xfId="0" applyFont="1" applyFill="1" applyAlignment="1">
      <alignment vertical="center" wrapText="1"/>
    </xf>
    <xf numFmtId="0" fontId="3" fillId="2" borderId="0" xfId="0" applyFont="1" applyFill="1" applyAlignment="1">
      <alignment vertical="center" wrapText="1"/>
    </xf>
    <xf numFmtId="0" fontId="5" fillId="2" borderId="0" xfId="0" applyFont="1" applyFill="1" applyAlignment="1">
      <alignment vertical="center" wrapText="1"/>
    </xf>
    <xf numFmtId="0" fontId="6" fillId="2" borderId="0" xfId="0" applyFont="1" applyFill="1" applyAlignment="1">
      <alignment vertical="center" wrapText="1"/>
    </xf>
    <xf numFmtId="0" fontId="0" fillId="3" borderId="0" xfId="0" applyFill="1"/>
    <xf numFmtId="3" fontId="0" fillId="0" borderId="0" xfId="0" applyNumberFormat="1"/>
    <xf numFmtId="0" fontId="8" fillId="0" borderId="0" xfId="0" applyFont="1"/>
    <xf numFmtId="8" fontId="8" fillId="0" borderId="0" xfId="0" applyNumberFormat="1" applyFont="1" applyAlignment="1">
      <alignment horizontal="right"/>
    </xf>
    <xf numFmtId="0" fontId="8" fillId="0" borderId="0" xfId="0" applyFont="1" applyAlignment="1">
      <alignment horizontal="right"/>
    </xf>
    <xf numFmtId="0" fontId="8" fillId="0" borderId="0" xfId="0" applyFont="1" applyAlignment="1">
      <alignment horizontal="left"/>
    </xf>
    <xf numFmtId="0" fontId="9" fillId="4" borderId="0" xfId="0" applyFont="1" applyFill="1"/>
    <xf numFmtId="0" fontId="0" fillId="0" borderId="0" xfId="0" applyAlignment="1">
      <alignment wrapText="1"/>
    </xf>
    <xf numFmtId="0" fontId="0" fillId="5" borderId="0" xfId="0" applyFill="1" applyAlignment="1">
      <alignment horizontal="left"/>
    </xf>
    <xf numFmtId="0" fontId="0" fillId="5" borderId="0" xfId="0" applyFill="1"/>
    <xf numFmtId="0" fontId="0" fillId="5" borderId="0" xfId="0" applyFill="1" applyAlignment="1">
      <alignment horizontal="right"/>
    </xf>
    <xf numFmtId="168"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58AA6-27C3-4A28-8CD2-45224F046549}">
  <dimension ref="A1:H94"/>
  <sheetViews>
    <sheetView tabSelected="1" zoomScale="83" zoomScaleNormal="83" workbookViewId="0">
      <selection activeCell="E94" sqref="E94"/>
    </sheetView>
  </sheetViews>
  <sheetFormatPr defaultRowHeight="14.25" x14ac:dyDescent="0.45"/>
  <cols>
    <col min="1" max="1" width="12.9296875" bestFit="1" customWidth="1"/>
    <col min="2" max="2" width="34.3984375" style="2" customWidth="1"/>
    <col min="3" max="3" width="45.59765625" customWidth="1"/>
    <col min="4" max="4" width="13.73046875" style="1" customWidth="1"/>
    <col min="5" max="5" width="21.59765625" style="1" customWidth="1"/>
    <col min="6" max="6" width="15.46484375" style="1" customWidth="1"/>
    <col min="7" max="7" width="41.86328125" customWidth="1"/>
    <col min="8" max="8" width="55.53125" bestFit="1" customWidth="1"/>
  </cols>
  <sheetData>
    <row r="1" spans="1:8" x14ac:dyDescent="0.45">
      <c r="A1" t="s">
        <v>4</v>
      </c>
      <c r="B1" s="2" t="s">
        <v>3</v>
      </c>
      <c r="C1" s="2" t="s">
        <v>36</v>
      </c>
      <c r="D1" s="1" t="s">
        <v>0</v>
      </c>
      <c r="E1" s="1" t="s">
        <v>1</v>
      </c>
      <c r="F1" s="1" t="s">
        <v>6</v>
      </c>
      <c r="H1" t="s">
        <v>19</v>
      </c>
    </row>
    <row r="2" spans="1:8" x14ac:dyDescent="0.45">
      <c r="A2" t="s">
        <v>2</v>
      </c>
      <c r="B2" s="2" t="s">
        <v>5</v>
      </c>
      <c r="D2" s="1" t="s">
        <v>7</v>
      </c>
      <c r="E2" s="1" t="s">
        <v>8</v>
      </c>
      <c r="F2" s="1">
        <f>0.025*3</f>
        <v>7.5000000000000011E-2</v>
      </c>
      <c r="H2" t="s">
        <v>20</v>
      </c>
    </row>
    <row r="3" spans="1:8" x14ac:dyDescent="0.45">
      <c r="B3" s="2" t="s">
        <v>9</v>
      </c>
    </row>
    <row r="4" spans="1:8" x14ac:dyDescent="0.45">
      <c r="B4" s="2" t="s">
        <v>10</v>
      </c>
      <c r="D4" s="1" t="s">
        <v>18</v>
      </c>
      <c r="E4" s="1" t="s">
        <v>17</v>
      </c>
      <c r="F4" s="1">
        <v>0.6</v>
      </c>
    </row>
    <row r="5" spans="1:8" x14ac:dyDescent="0.45">
      <c r="B5" s="2" t="s">
        <v>11</v>
      </c>
      <c r="E5" s="1" t="s">
        <v>12</v>
      </c>
      <c r="F5" s="1" t="s">
        <v>29</v>
      </c>
    </row>
    <row r="6" spans="1:8" x14ac:dyDescent="0.45">
      <c r="B6" s="2" t="s">
        <v>14</v>
      </c>
      <c r="D6" s="10">
        <v>90000</v>
      </c>
      <c r="E6" s="1" t="s">
        <v>16</v>
      </c>
      <c r="F6" s="1">
        <f>90*0.005</f>
        <v>0.45</v>
      </c>
      <c r="G6" t="s">
        <v>118</v>
      </c>
    </row>
    <row r="7" spans="1:8" x14ac:dyDescent="0.45">
      <c r="B7" s="2" t="s">
        <v>13</v>
      </c>
      <c r="D7" s="10">
        <v>225000</v>
      </c>
      <c r="E7" s="1" t="s">
        <v>15</v>
      </c>
      <c r="F7" s="1">
        <f>0.004*225</f>
        <v>0.9</v>
      </c>
      <c r="G7" t="s">
        <v>117</v>
      </c>
    </row>
    <row r="8" spans="1:8" ht="28.5" x14ac:dyDescent="0.45">
      <c r="C8" s="16" t="s">
        <v>136</v>
      </c>
    </row>
    <row r="9" spans="1:8" x14ac:dyDescent="0.45">
      <c r="A9" t="s">
        <v>21</v>
      </c>
      <c r="B9" s="2" t="s">
        <v>23</v>
      </c>
      <c r="C9" t="s">
        <v>140</v>
      </c>
      <c r="D9" s="1" t="s">
        <v>141</v>
      </c>
      <c r="E9" s="1" t="s">
        <v>22</v>
      </c>
      <c r="F9" s="1">
        <f>0.2*0.27</f>
        <v>5.4000000000000006E-2</v>
      </c>
    </row>
    <row r="10" spans="1:8" x14ac:dyDescent="0.45">
      <c r="B10" s="17" t="s">
        <v>24</v>
      </c>
      <c r="C10" s="18"/>
      <c r="D10" s="19" t="s">
        <v>27</v>
      </c>
      <c r="E10" s="19" t="s">
        <v>30</v>
      </c>
      <c r="F10" s="19">
        <f>0.2*0.512*0.0000133334*150000</f>
        <v>0.204801024</v>
      </c>
      <c r="G10" s="17" t="s">
        <v>142</v>
      </c>
    </row>
    <row r="11" spans="1:8" x14ac:dyDescent="0.45">
      <c r="B11" s="17" t="s">
        <v>25</v>
      </c>
      <c r="C11" s="18"/>
      <c r="D11" s="19" t="s">
        <v>26</v>
      </c>
      <c r="E11" s="19"/>
      <c r="F11" s="19"/>
      <c r="G11" s="18"/>
    </row>
    <row r="12" spans="1:8" x14ac:dyDescent="0.45">
      <c r="A12" t="s">
        <v>28</v>
      </c>
      <c r="C12" t="s">
        <v>138</v>
      </c>
      <c r="D12" s="1" t="s">
        <v>139</v>
      </c>
      <c r="E12" s="1" t="s">
        <v>31</v>
      </c>
      <c r="F12" s="1">
        <f>0.27*1.25</f>
        <v>0.33750000000000002</v>
      </c>
      <c r="G12" t="s">
        <v>137</v>
      </c>
    </row>
    <row r="13" spans="1:8" x14ac:dyDescent="0.45">
      <c r="A13" t="s">
        <v>32</v>
      </c>
    </row>
    <row r="14" spans="1:8" x14ac:dyDescent="0.45">
      <c r="B14" s="2" t="s">
        <v>5</v>
      </c>
      <c r="C14" t="s">
        <v>41</v>
      </c>
      <c r="D14" s="1" t="s">
        <v>35</v>
      </c>
      <c r="E14" s="1" t="s">
        <v>40</v>
      </c>
      <c r="F14" s="1">
        <f>0.114*2</f>
        <v>0.22800000000000001</v>
      </c>
    </row>
    <row r="15" spans="1:8" x14ac:dyDescent="0.45">
      <c r="B15" s="2" t="s">
        <v>34</v>
      </c>
      <c r="C15" t="s">
        <v>144</v>
      </c>
      <c r="D15" s="1">
        <f>1000*27*30 /1000000</f>
        <v>0.81</v>
      </c>
      <c r="E15" s="1" t="s">
        <v>38</v>
      </c>
      <c r="F15" s="1">
        <f>0.1425*D15</f>
        <v>0.115425</v>
      </c>
      <c r="G15" t="s">
        <v>143</v>
      </c>
    </row>
    <row r="16" spans="1:8" x14ac:dyDescent="0.45">
      <c r="B16" s="2" t="s">
        <v>33</v>
      </c>
      <c r="C16" t="s">
        <v>145</v>
      </c>
      <c r="D16" s="1">
        <f>1000*6*30 /1000000</f>
        <v>0.18</v>
      </c>
      <c r="E16" s="1" t="s">
        <v>39</v>
      </c>
      <c r="F16" s="1">
        <f>0.71*0.18</f>
        <v>0.1278</v>
      </c>
      <c r="G16" t="s">
        <v>37</v>
      </c>
    </row>
    <row r="17" spans="1:6" x14ac:dyDescent="0.45">
      <c r="A17" t="s">
        <v>42</v>
      </c>
      <c r="B17" s="2" t="s">
        <v>43</v>
      </c>
      <c r="C17" t="s">
        <v>46</v>
      </c>
      <c r="D17" s="1" t="s">
        <v>45</v>
      </c>
      <c r="E17" s="1" t="s">
        <v>44</v>
      </c>
      <c r="F17" s="1">
        <f>0.0055*1000</f>
        <v>5.5</v>
      </c>
    </row>
    <row r="18" spans="1:6" x14ac:dyDescent="0.45">
      <c r="A18" t="s">
        <v>47</v>
      </c>
      <c r="B18" s="2" t="s">
        <v>48</v>
      </c>
      <c r="C18" t="s">
        <v>61</v>
      </c>
      <c r="D18" s="1">
        <v>5</v>
      </c>
      <c r="E18" s="1" t="s">
        <v>59</v>
      </c>
    </row>
    <row r="19" spans="1:6" x14ac:dyDescent="0.45">
      <c r="B19" s="2" t="s">
        <v>49</v>
      </c>
      <c r="C19" t="s">
        <v>50</v>
      </c>
      <c r="D19" s="1">
        <v>5</v>
      </c>
      <c r="E19" s="1" t="s">
        <v>60</v>
      </c>
    </row>
    <row r="20" spans="1:6" x14ac:dyDescent="0.45">
      <c r="B20" s="2" t="s">
        <v>51</v>
      </c>
      <c r="C20" t="s">
        <v>62</v>
      </c>
      <c r="D20" s="1">
        <v>100000</v>
      </c>
      <c r="E20" s="1" t="s">
        <v>63</v>
      </c>
      <c r="F20" s="1">
        <v>1</v>
      </c>
    </row>
    <row r="21" spans="1:6" x14ac:dyDescent="0.45">
      <c r="A21" s="3" t="s">
        <v>52</v>
      </c>
      <c r="B21" s="2" t="s">
        <v>53</v>
      </c>
      <c r="D21" s="1">
        <v>50000</v>
      </c>
      <c r="E21" s="1" t="s">
        <v>64</v>
      </c>
      <c r="F21" s="1">
        <v>0.05</v>
      </c>
    </row>
    <row r="22" spans="1:6" x14ac:dyDescent="0.45">
      <c r="A22" t="s">
        <v>54</v>
      </c>
      <c r="B22" s="2" t="s">
        <v>55</v>
      </c>
      <c r="C22" t="s">
        <v>58</v>
      </c>
      <c r="D22" s="1">
        <v>3</v>
      </c>
      <c r="E22" s="1" t="s">
        <v>65</v>
      </c>
      <c r="F22" s="1">
        <v>1.2</v>
      </c>
    </row>
    <row r="23" spans="1:6" x14ac:dyDescent="0.45">
      <c r="A23" t="s">
        <v>56</v>
      </c>
      <c r="B23" s="2" t="s">
        <v>57</v>
      </c>
      <c r="D23" s="1">
        <v>1</v>
      </c>
      <c r="E23" s="1" t="s">
        <v>66</v>
      </c>
      <c r="F23" s="1">
        <v>1</v>
      </c>
    </row>
    <row r="24" spans="1:6" x14ac:dyDescent="0.45">
      <c r="A24" t="s">
        <v>67</v>
      </c>
      <c r="B24" s="2" t="s">
        <v>68</v>
      </c>
      <c r="C24" s="2" t="s">
        <v>135</v>
      </c>
      <c r="D24" s="1">
        <v>2400</v>
      </c>
      <c r="E24" s="1" t="s">
        <v>69</v>
      </c>
      <c r="F24" s="1">
        <f>D24*0.0015</f>
        <v>3.6</v>
      </c>
    </row>
    <row r="25" spans="1:6" x14ac:dyDescent="0.45">
      <c r="C25" t="s">
        <v>134</v>
      </c>
    </row>
    <row r="26" spans="1:6" x14ac:dyDescent="0.45">
      <c r="A26" t="s">
        <v>79</v>
      </c>
      <c r="B26" s="2" t="s">
        <v>104</v>
      </c>
      <c r="D26" s="1" t="s">
        <v>20</v>
      </c>
    </row>
    <row r="27" spans="1:6" x14ac:dyDescent="0.45">
      <c r="B27" s="2" t="s">
        <v>115</v>
      </c>
      <c r="D27" s="1">
        <f>90000*350</f>
        <v>31500000</v>
      </c>
      <c r="E27" s="1" t="s">
        <v>105</v>
      </c>
      <c r="F27" s="1">
        <f>(D27/1000)*0.00053</f>
        <v>16.695</v>
      </c>
    </row>
    <row r="28" spans="1:6" x14ac:dyDescent="0.45">
      <c r="B28" s="2" t="s">
        <v>116</v>
      </c>
      <c r="D28" s="1">
        <f>90000*120</f>
        <v>10800000</v>
      </c>
      <c r="E28" s="1" t="s">
        <v>106</v>
      </c>
      <c r="F28" s="1">
        <f>(D28/1000)*0.00266</f>
        <v>28.728000000000002</v>
      </c>
    </row>
    <row r="31" spans="1:6" x14ac:dyDescent="0.45">
      <c r="A31" s="9" t="s">
        <v>80</v>
      </c>
      <c r="B31" t="s">
        <v>81</v>
      </c>
    </row>
    <row r="32" spans="1:6" x14ac:dyDescent="0.45">
      <c r="B32" s="4" t="s">
        <v>82</v>
      </c>
      <c r="C32" s="5" t="s">
        <v>83</v>
      </c>
    </row>
    <row r="33" spans="2:3" x14ac:dyDescent="0.45">
      <c r="B33"/>
      <c r="C33" s="6" t="s">
        <v>84</v>
      </c>
    </row>
    <row r="34" spans="2:3" x14ac:dyDescent="0.45">
      <c r="B34"/>
      <c r="C34" s="6" t="s">
        <v>85</v>
      </c>
    </row>
    <row r="35" spans="2:3" x14ac:dyDescent="0.45">
      <c r="B35"/>
      <c r="C35" s="6" t="s">
        <v>86</v>
      </c>
    </row>
    <row r="36" spans="2:3" x14ac:dyDescent="0.45">
      <c r="B36"/>
      <c r="C36" s="5"/>
    </row>
    <row r="37" spans="2:3" x14ac:dyDescent="0.45">
      <c r="B37"/>
      <c r="C37" s="5" t="s">
        <v>87</v>
      </c>
    </row>
    <row r="38" spans="2:3" x14ac:dyDescent="0.45">
      <c r="B38"/>
      <c r="C38" s="6" t="s">
        <v>88</v>
      </c>
    </row>
    <row r="39" spans="2:3" x14ac:dyDescent="0.45">
      <c r="B39"/>
      <c r="C39" s="6" t="s">
        <v>89</v>
      </c>
    </row>
    <row r="40" spans="2:3" x14ac:dyDescent="0.45">
      <c r="B40"/>
      <c r="C40" s="6" t="s">
        <v>90</v>
      </c>
    </row>
    <row r="41" spans="2:3" x14ac:dyDescent="0.45">
      <c r="B41"/>
    </row>
    <row r="42" spans="2:3" x14ac:dyDescent="0.45">
      <c r="B42" s="4" t="s">
        <v>73</v>
      </c>
      <c r="C42" s="7" t="s">
        <v>83</v>
      </c>
    </row>
    <row r="43" spans="2:3" x14ac:dyDescent="0.45">
      <c r="B43"/>
      <c r="C43" s="8" t="s">
        <v>91</v>
      </c>
    </row>
    <row r="44" spans="2:3" x14ac:dyDescent="0.45">
      <c r="B44"/>
      <c r="C44" s="8" t="s">
        <v>92</v>
      </c>
    </row>
    <row r="45" spans="2:3" x14ac:dyDescent="0.45">
      <c r="B45"/>
      <c r="C45" s="8" t="s">
        <v>93</v>
      </c>
    </row>
    <row r="46" spans="2:3" x14ac:dyDescent="0.45">
      <c r="B46"/>
      <c r="C46" s="7"/>
    </row>
    <row r="47" spans="2:3" x14ac:dyDescent="0.45">
      <c r="B47"/>
      <c r="C47" s="7" t="s">
        <v>87</v>
      </c>
    </row>
    <row r="48" spans="2:3" x14ac:dyDescent="0.45">
      <c r="B48"/>
      <c r="C48" s="8" t="s">
        <v>94</v>
      </c>
    </row>
    <row r="49" spans="1:3" x14ac:dyDescent="0.45">
      <c r="B49"/>
      <c r="C49" s="8" t="s">
        <v>95</v>
      </c>
    </row>
    <row r="50" spans="1:3" x14ac:dyDescent="0.45">
      <c r="B50"/>
      <c r="C50" s="8" t="s">
        <v>96</v>
      </c>
    </row>
    <row r="51" spans="1:3" x14ac:dyDescent="0.45">
      <c r="B51"/>
    </row>
    <row r="52" spans="1:3" x14ac:dyDescent="0.45">
      <c r="B52" s="4" t="s">
        <v>97</v>
      </c>
      <c r="C52" s="7" t="s">
        <v>83</v>
      </c>
    </row>
    <row r="53" spans="1:3" x14ac:dyDescent="0.45">
      <c r="B53"/>
      <c r="C53" s="8" t="s">
        <v>98</v>
      </c>
    </row>
    <row r="54" spans="1:3" x14ac:dyDescent="0.45">
      <c r="B54"/>
      <c r="C54" s="8" t="s">
        <v>99</v>
      </c>
    </row>
    <row r="55" spans="1:3" x14ac:dyDescent="0.45">
      <c r="B55"/>
      <c r="C55" s="8" t="s">
        <v>100</v>
      </c>
    </row>
    <row r="56" spans="1:3" x14ac:dyDescent="0.45">
      <c r="B56"/>
      <c r="C56" s="7"/>
    </row>
    <row r="57" spans="1:3" x14ac:dyDescent="0.45">
      <c r="B57"/>
      <c r="C57" s="7" t="s">
        <v>87</v>
      </c>
    </row>
    <row r="58" spans="1:3" x14ac:dyDescent="0.45">
      <c r="B58"/>
      <c r="C58" s="8" t="s">
        <v>101</v>
      </c>
    </row>
    <row r="59" spans="1:3" x14ac:dyDescent="0.45">
      <c r="B59"/>
      <c r="C59" s="8" t="s">
        <v>102</v>
      </c>
    </row>
    <row r="60" spans="1:3" x14ac:dyDescent="0.45">
      <c r="B60"/>
      <c r="C60" s="8" t="s">
        <v>103</v>
      </c>
    </row>
    <row r="63" spans="1:3" x14ac:dyDescent="0.45">
      <c r="A63" t="s">
        <v>70</v>
      </c>
      <c r="B63" t="s">
        <v>73</v>
      </c>
      <c r="C63" t="s">
        <v>71</v>
      </c>
    </row>
    <row r="64" spans="1:3" x14ac:dyDescent="0.45">
      <c r="B64"/>
      <c r="C64" t="s">
        <v>74</v>
      </c>
    </row>
    <row r="65" spans="1:7" x14ac:dyDescent="0.45">
      <c r="B65" t="s">
        <v>75</v>
      </c>
      <c r="C65" t="s">
        <v>71</v>
      </c>
    </row>
    <row r="66" spans="1:7" x14ac:dyDescent="0.45">
      <c r="B66"/>
      <c r="C66" t="s">
        <v>72</v>
      </c>
    </row>
    <row r="67" spans="1:7" x14ac:dyDescent="0.45">
      <c r="B67" t="s">
        <v>76</v>
      </c>
      <c r="C67" t="s">
        <v>77</v>
      </c>
    </row>
    <row r="68" spans="1:7" x14ac:dyDescent="0.45">
      <c r="B68"/>
      <c r="C68" t="s">
        <v>78</v>
      </c>
    </row>
    <row r="71" spans="1:7" x14ac:dyDescent="0.45">
      <c r="A71" t="s">
        <v>107</v>
      </c>
      <c r="B71" t="s">
        <v>108</v>
      </c>
      <c r="C71" t="s">
        <v>109</v>
      </c>
    </row>
    <row r="72" spans="1:7" x14ac:dyDescent="0.45">
      <c r="B72"/>
      <c r="C72" t="s">
        <v>110</v>
      </c>
    </row>
    <row r="73" spans="1:7" x14ac:dyDescent="0.45">
      <c r="B73" t="s">
        <v>111</v>
      </c>
      <c r="C73" t="s">
        <v>112</v>
      </c>
    </row>
    <row r="74" spans="1:7" x14ac:dyDescent="0.45">
      <c r="B74"/>
      <c r="C74" t="s">
        <v>113</v>
      </c>
    </row>
    <row r="75" spans="1:7" x14ac:dyDescent="0.45">
      <c r="B75" t="s">
        <v>75</v>
      </c>
      <c r="C75" t="s">
        <v>112</v>
      </c>
    </row>
    <row r="76" spans="1:7" x14ac:dyDescent="0.45">
      <c r="B76"/>
      <c r="C76" t="s">
        <v>113</v>
      </c>
    </row>
    <row r="77" spans="1:7" x14ac:dyDescent="0.45">
      <c r="A77" t="s">
        <v>119</v>
      </c>
      <c r="B77" s="2" t="s">
        <v>120</v>
      </c>
      <c r="C77" s="11"/>
      <c r="D77" s="12">
        <v>0.6</v>
      </c>
      <c r="E77" s="12" t="s">
        <v>121</v>
      </c>
      <c r="F77" s="20">
        <f>0.023*D77</f>
        <v>1.38E-2</v>
      </c>
    </row>
    <row r="78" spans="1:7" x14ac:dyDescent="0.45">
      <c r="B78" s="2" t="s">
        <v>122</v>
      </c>
      <c r="C78" s="3" t="s">
        <v>146</v>
      </c>
      <c r="D78" s="13">
        <f>90000*3*30%/1000</f>
        <v>81</v>
      </c>
      <c r="E78" s="13" t="s">
        <v>123</v>
      </c>
      <c r="F78">
        <f>0.15*D78</f>
        <v>12.15</v>
      </c>
      <c r="G78" t="s">
        <v>147</v>
      </c>
    </row>
    <row r="79" spans="1:7" x14ac:dyDescent="0.45">
      <c r="B79" s="2" t="s">
        <v>124</v>
      </c>
      <c r="C79" s="11"/>
      <c r="D79" s="13">
        <v>30</v>
      </c>
      <c r="E79" s="13" t="s">
        <v>125</v>
      </c>
      <c r="F79" s="1">
        <f>0.01*30</f>
        <v>0.3</v>
      </c>
    </row>
    <row r="80" spans="1:7" x14ac:dyDescent="0.45">
      <c r="B80" s="2" t="s">
        <v>126</v>
      </c>
      <c r="C80" s="3" t="s">
        <v>148</v>
      </c>
    </row>
    <row r="81" spans="1:5" x14ac:dyDescent="0.45">
      <c r="B81" s="14" t="s">
        <v>127</v>
      </c>
      <c r="C81" s="11"/>
      <c r="D81" s="13"/>
      <c r="E81" s="13" t="s">
        <v>128</v>
      </c>
    </row>
    <row r="82" spans="1:5" x14ac:dyDescent="0.45">
      <c r="B82" s="14" t="s">
        <v>129</v>
      </c>
      <c r="D82" s="13"/>
      <c r="E82" s="13" t="s">
        <v>130</v>
      </c>
    </row>
    <row r="83" spans="1:5" x14ac:dyDescent="0.45">
      <c r="B83" s="14" t="s">
        <v>131</v>
      </c>
      <c r="D83" s="13"/>
      <c r="E83" s="13" t="s">
        <v>132</v>
      </c>
    </row>
    <row r="94" spans="1:5" x14ac:dyDescent="0.45">
      <c r="A94" s="15" t="s">
        <v>114</v>
      </c>
      <c r="B94" s="2" t="s">
        <v>133</v>
      </c>
      <c r="E94" s="1">
        <f>SUM(F2,F4,F6,F7,F9,F10,F12,F14,F15,F16,F17,F20,F21,F22,F23,F24,F27,F28,F78)</f>
        <v>73.015526023999996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 Nguyen</dc:creator>
  <cp:lastModifiedBy>khai Nguyen</cp:lastModifiedBy>
  <dcterms:created xsi:type="dcterms:W3CDTF">2026-03-09T09:52:18Z</dcterms:created>
  <dcterms:modified xsi:type="dcterms:W3CDTF">2026-03-10T03:42:04Z</dcterms:modified>
</cp:coreProperties>
</file>